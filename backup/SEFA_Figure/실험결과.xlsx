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gh\Graduation_Project\Code\S3CE\backup\SEFA_Figure\"/>
    </mc:Choice>
  </mc:AlternateContent>
  <xr:revisionPtr revIDLastSave="0" documentId="13_ncr:1_{D0152A61-A94E-46BF-9F18-A7B9211DEC16}" xr6:coauthVersionLast="47" xr6:coauthVersionMax="47" xr10:uidLastSave="{00000000-0000-0000-0000-000000000000}"/>
  <bookViews>
    <workbookView xWindow="-19290" yWindow="110" windowWidth="19380" windowHeight="20970" xr2:uid="{3B707854-6672-4B80-9F73-ABDFA9AD2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1" l="1"/>
  <c r="R10" i="1"/>
  <c r="S10" i="1"/>
  <c r="T10" i="1"/>
  <c r="U10" i="1"/>
  <c r="V10" i="1"/>
  <c r="P10" i="1"/>
  <c r="D20" i="1"/>
  <c r="E20" i="1"/>
  <c r="F20" i="1"/>
  <c r="G20" i="1"/>
  <c r="H20" i="1"/>
  <c r="I20" i="1"/>
  <c r="C20" i="1"/>
  <c r="D9" i="1"/>
  <c r="E9" i="1"/>
  <c r="F9" i="1"/>
  <c r="G9" i="1"/>
  <c r="H9" i="1"/>
  <c r="I9" i="1"/>
  <c r="C9" i="1"/>
  <c r="I8" i="1"/>
  <c r="D8" i="1"/>
  <c r="E8" i="1"/>
  <c r="F8" i="1"/>
  <c r="G8" i="1"/>
  <c r="H8" i="1"/>
  <c r="V12" i="1"/>
  <c r="U12" i="1"/>
  <c r="T12" i="1"/>
  <c r="S12" i="1"/>
  <c r="R12" i="1"/>
  <c r="Q12" i="1"/>
  <c r="P12" i="1"/>
  <c r="V11" i="1"/>
  <c r="U11" i="1"/>
  <c r="T11" i="1"/>
  <c r="S11" i="1"/>
  <c r="R11" i="1"/>
  <c r="Q11" i="1"/>
  <c r="P11" i="1"/>
  <c r="V9" i="1"/>
  <c r="U9" i="1"/>
  <c r="T9" i="1"/>
  <c r="S9" i="1"/>
  <c r="R9" i="1"/>
  <c r="Q9" i="1"/>
  <c r="P9" i="1"/>
  <c r="C22" i="1"/>
  <c r="C21" i="1"/>
  <c r="J21" i="1" s="1"/>
  <c r="C19" i="1"/>
  <c r="D22" i="1"/>
  <c r="D21" i="1"/>
  <c r="D19" i="1"/>
  <c r="C12" i="1" a="1"/>
  <c r="C12" i="1" s="1"/>
  <c r="D11" i="1"/>
  <c r="D10" i="1"/>
  <c r="C11" i="1"/>
  <c r="C10" i="1"/>
  <c r="C8" i="1"/>
  <c r="J16" i="1"/>
  <c r="J17" i="1"/>
  <c r="J18" i="1"/>
  <c r="J15" i="1"/>
  <c r="F22" i="1"/>
  <c r="F21" i="1"/>
  <c r="F19" i="1"/>
  <c r="H22" i="1"/>
  <c r="H21" i="1"/>
  <c r="H19" i="1"/>
  <c r="E22" i="1"/>
  <c r="E21" i="1"/>
  <c r="E19" i="1"/>
  <c r="I22" i="1"/>
  <c r="G22" i="1"/>
  <c r="I21" i="1"/>
  <c r="G21" i="1"/>
  <c r="I19" i="1"/>
  <c r="J19" i="1" s="1"/>
  <c r="G19" i="1"/>
  <c r="J5" i="1"/>
  <c r="J6" i="1"/>
  <c r="J7" i="1"/>
  <c r="J4" i="1"/>
  <c r="D12" i="1" a="1"/>
  <c r="D12" i="1" s="1"/>
  <c r="E12" i="1" a="1"/>
  <c r="E12" i="1" s="1"/>
  <c r="F12" i="1" a="1"/>
  <c r="F12" i="1" s="1"/>
  <c r="G12" i="1" a="1"/>
  <c r="G12" i="1" s="1"/>
  <c r="H12" i="1" a="1"/>
  <c r="H12" i="1" s="1"/>
  <c r="I12" i="1" a="1"/>
  <c r="I12" i="1" s="1"/>
  <c r="F11" i="1"/>
  <c r="F10" i="1"/>
  <c r="E11" i="1"/>
  <c r="E10" i="1"/>
  <c r="I11" i="1"/>
  <c r="G11" i="1"/>
  <c r="H11" i="1"/>
  <c r="I10" i="1"/>
  <c r="G10" i="1"/>
  <c r="H10" i="1"/>
  <c r="W8" i="1"/>
  <c r="W7" i="1"/>
  <c r="W6" i="1"/>
  <c r="W5" i="1"/>
  <c r="W10" i="1" l="1"/>
  <c r="J20" i="1"/>
  <c r="J22" i="1"/>
  <c r="J10" i="1"/>
  <c r="J11" i="1"/>
  <c r="J8" i="1"/>
  <c r="J9" i="1"/>
  <c r="W11" i="1"/>
  <c r="W9" i="1"/>
  <c r="W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<sst xmlns="http://schemas.openxmlformats.org/spreadsheetml/2006/main" count="70" uniqueCount="42">
  <si>
    <t>Phases</t>
    <phoneticPr fontId="1" type="noConversion"/>
  </si>
  <si>
    <t>B&amp;H</t>
    <phoneticPr fontId="1" type="noConversion"/>
  </si>
  <si>
    <t>RF</t>
    <phoneticPr fontId="1" type="noConversion"/>
  </si>
  <si>
    <t>Agg3</t>
    <phoneticPr fontId="1" type="noConversion"/>
  </si>
  <si>
    <t>S3CE</t>
    <phoneticPr fontId="1" type="noConversion"/>
  </si>
  <si>
    <t>ERG</t>
    <phoneticPr fontId="1" type="noConversion"/>
  </si>
  <si>
    <t>WMR</t>
    <phoneticPr fontId="1" type="noConversion"/>
  </si>
  <si>
    <t>Min.</t>
    <phoneticPr fontId="1" type="noConversion"/>
  </si>
  <si>
    <t>Max.</t>
    <phoneticPr fontId="1" type="noConversion"/>
  </si>
  <si>
    <t>Avg.</t>
    <phoneticPr fontId="1" type="noConversion"/>
  </si>
  <si>
    <t>Std.</t>
    <phoneticPr fontId="1" type="noConversion"/>
  </si>
  <si>
    <t>Sharpe Ratio (SR)</t>
    <phoneticPr fontId="1" type="noConversion"/>
  </si>
  <si>
    <t>Maximum DrawDown (MDD)</t>
    <phoneticPr fontId="1" type="noConversion"/>
  </si>
  <si>
    <t>(재무, 공시, 거시)</t>
    <phoneticPr fontId="1" type="noConversion"/>
  </si>
  <si>
    <t>(1,1,1)</t>
    <phoneticPr fontId="1" type="noConversion"/>
  </si>
  <si>
    <t>(1,0,0)</t>
    <phoneticPr fontId="1" type="noConversion"/>
  </si>
  <si>
    <t>(0,1,0)</t>
    <phoneticPr fontId="1" type="noConversion"/>
  </si>
  <si>
    <t>(0,0,1)</t>
    <phoneticPr fontId="1" type="noConversion"/>
  </si>
  <si>
    <t>(1,1,0)</t>
    <phoneticPr fontId="1" type="noConversion"/>
  </si>
  <si>
    <t>(0,1,1)</t>
    <phoneticPr fontId="1" type="noConversion"/>
  </si>
  <si>
    <t>(1,0,1)</t>
    <phoneticPr fontId="1" type="noConversion"/>
  </si>
  <si>
    <t>Return Rate (RR)</t>
    <phoneticPr fontId="1" type="noConversion"/>
  </si>
  <si>
    <t>RR</t>
    <phoneticPr fontId="1" type="noConversion"/>
  </si>
  <si>
    <t>SR</t>
    <phoneticPr fontId="1" type="noConversion"/>
  </si>
  <si>
    <t>MDD</t>
    <phoneticPr fontId="1" type="noConversion"/>
  </si>
  <si>
    <t>Evaluation</t>
  </si>
  <si>
    <t>Video</t>
    <phoneticPr fontId="1" type="noConversion"/>
  </si>
  <si>
    <t>Article</t>
    <phoneticPr fontId="1" type="noConversion"/>
  </si>
  <si>
    <t>Vid &amp; Art</t>
    <phoneticPr fontId="1" type="noConversion"/>
  </si>
  <si>
    <t>Vid | Art</t>
    <phoneticPr fontId="1" type="noConversion"/>
  </si>
  <si>
    <t>recall</t>
    <phoneticPr fontId="1" type="noConversion"/>
  </si>
  <si>
    <t>precision</t>
    <phoneticPr fontId="1" type="noConversion"/>
  </si>
  <si>
    <t>accuracy</t>
    <phoneticPr fontId="1" type="noConversion"/>
  </si>
  <si>
    <t>F1-score</t>
    <phoneticPr fontId="1" type="noConversion"/>
  </si>
  <si>
    <t>종목선택비율에따른 CAGR 결과</t>
    <phoneticPr fontId="1" type="noConversion"/>
  </si>
  <si>
    <t>GeoMean.</t>
    <phoneticPr fontId="1" type="noConversion"/>
  </si>
  <si>
    <t>LLM Result</t>
    <phoneticPr fontId="1" type="noConversion"/>
  </si>
  <si>
    <t>절제연구 실험 결과</t>
    <phoneticPr fontId="1" type="noConversion"/>
  </si>
  <si>
    <t>특징선택개수에따른 CAGR 결과</t>
    <phoneticPr fontId="1" type="noConversion"/>
  </si>
  <si>
    <t>LLM CAGR</t>
    <phoneticPr fontId="1" type="noConversion"/>
  </si>
  <si>
    <t>w/o LLM</t>
    <phoneticPr fontId="1" type="noConversion"/>
  </si>
  <si>
    <t>S2FE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</si>
</sst>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%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76" fontId="2" fillId="0" borderId="6" xfId="0" applyNumberFormat="1" applyFont="1" applyBorder="1" applyAlignment="1">
      <alignment horizontal="right" vertical="center"/>
    </xf>
    <xf numFmtId="176" fontId="3" fillId="0" borderId="6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right" vertical="center"/>
    </xf>
    <xf numFmtId="176" fontId="3" fillId="0" borderId="7" xfId="0" applyNumberFormat="1" applyFont="1" applyBorder="1" applyAlignment="1">
      <alignment horizontal="right" vertical="center"/>
    </xf>
    <xf numFmtId="176" fontId="2" fillId="0" borderId="7" xfId="0" applyNumberFormat="1" applyFont="1" applyBorder="1" applyAlignment="1">
      <alignment horizontal="right" vertical="center"/>
    </xf>
    <xf numFmtId="10" fontId="2" fillId="0" borderId="6" xfId="0" applyNumberFormat="1" applyFont="1" applyBorder="1" applyAlignment="1">
      <alignment horizontal="right" vertical="center"/>
    </xf>
    <xf numFmtId="10" fontId="3" fillId="0" borderId="6" xfId="0" applyNumberFormat="1" applyFont="1" applyBorder="1" applyAlignment="1">
      <alignment horizontal="right" vertical="center"/>
    </xf>
    <xf numFmtId="10" fontId="2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10" fontId="2" fillId="0" borderId="7" xfId="0" applyNumberFormat="1" applyFont="1" applyBorder="1" applyAlignment="1">
      <alignment horizontal="right" vertical="center"/>
    </xf>
    <xf numFmtId="10" fontId="3" fillId="0" borderId="7" xfId="0" applyNumberFormat="1" applyFont="1" applyBorder="1" applyAlignment="1">
      <alignment horizontal="right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7" fontId="4" fillId="0" borderId="6" xfId="0" applyNumberFormat="1" applyFont="1" applyBorder="1" applyAlignment="1">
      <alignment horizontal="right" vertical="center"/>
    </xf>
    <xf numFmtId="177" fontId="5" fillId="0" borderId="6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right" vertical="center"/>
    </xf>
    <xf numFmtId="177" fontId="5" fillId="0" borderId="1" xfId="0" applyNumberFormat="1" applyFont="1" applyBorder="1" applyAlignment="1">
      <alignment horizontal="right"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C3E20-D4E4-4FDA-8EC0-3B8B38E2328F}">
  <dimension ref="A2:AJ46"/>
  <sheetViews>
    <sheetView tabSelected="1" topLeftCell="H1" zoomScale="70" zoomScaleNormal="70" workbookViewId="0">
      <selection activeCell="V22" sqref="V22"/>
    </sheetView>
  </sheetViews>
  <sheetFormatPr defaultRowHeight="21" x14ac:dyDescent="0.4"/>
  <cols>
    <col min="1" max="23" width="10.19921875" style="1" customWidth="1"/>
    <col min="24" max="24" width="12.69921875" style="1" customWidth="1"/>
    <col min="25" max="29" width="13.69921875" style="1" customWidth="1"/>
    <col min="30" max="33" width="15.69921875" style="1" customWidth="1"/>
    <col min="34" max="34" width="9.59765625" style="1" bestFit="1" customWidth="1"/>
    <col min="35" max="36" width="10.09765625" style="1" bestFit="1" customWidth="1"/>
    <col min="37" max="16384" width="8.796875" style="1"/>
  </cols>
  <sheetData>
    <row r="2" spans="1:36" x14ac:dyDescent="0.4">
      <c r="B2" s="30" t="s">
        <v>0</v>
      </c>
      <c r="C2" s="30" t="s">
        <v>21</v>
      </c>
      <c r="D2" s="30"/>
      <c r="E2" s="30"/>
      <c r="F2" s="30"/>
      <c r="G2" s="30"/>
      <c r="H2" s="30"/>
      <c r="I2" s="30"/>
      <c r="Z2" s="1" t="s">
        <v>36</v>
      </c>
    </row>
    <row r="3" spans="1:36" ht="21.6" thickBot="1" x14ac:dyDescent="0.45">
      <c r="B3" s="31"/>
      <c r="C3" s="5" t="s">
        <v>3</v>
      </c>
      <c r="D3" s="5" t="s">
        <v>1</v>
      </c>
      <c r="E3" s="5" t="s">
        <v>2</v>
      </c>
      <c r="F3" s="5" t="s">
        <v>6</v>
      </c>
      <c r="G3" s="5" t="s">
        <v>5</v>
      </c>
      <c r="H3" s="5" t="s">
        <v>4</v>
      </c>
      <c r="I3" s="5" t="s">
        <v>41</v>
      </c>
      <c r="O3" s="30" t="s">
        <v>0</v>
      </c>
      <c r="P3" s="30" t="s">
        <v>12</v>
      </c>
      <c r="Q3" s="30"/>
      <c r="R3" s="30"/>
      <c r="S3" s="30"/>
      <c r="T3" s="30"/>
      <c r="U3" s="30"/>
      <c r="V3" s="30"/>
      <c r="X3" s="5" t="s">
        <v>25</v>
      </c>
      <c r="Y3" s="20" t="s">
        <v>26</v>
      </c>
      <c r="Z3" s="20" t="s">
        <v>27</v>
      </c>
      <c r="AA3" s="20" t="s">
        <v>28</v>
      </c>
      <c r="AB3" s="20" t="s">
        <v>29</v>
      </c>
    </row>
    <row r="4" spans="1:36" ht="22.2" thickTop="1" thickBot="1" x14ac:dyDescent="0.45">
      <c r="B4" s="6">
        <v>1</v>
      </c>
      <c r="C4" s="14">
        <v>-0.110091272162916</v>
      </c>
      <c r="D4" s="14">
        <v>-0.116600191731373</v>
      </c>
      <c r="E4" s="14">
        <v>-0.118785917152203</v>
      </c>
      <c r="F4" s="15">
        <v>0.4884</v>
      </c>
      <c r="G4" s="14">
        <v>-2.6700000000000002E-2</v>
      </c>
      <c r="H4" s="14">
        <v>0.148466852411136</v>
      </c>
      <c r="I4" s="14">
        <v>-6.88E-2</v>
      </c>
      <c r="J4" s="3">
        <f t="shared" ref="J4:J10" si="0">MAX(C4:I4)*100%</f>
        <v>0.4884</v>
      </c>
      <c r="L4"/>
      <c r="O4" s="31"/>
      <c r="P4" s="5" t="s">
        <v>3</v>
      </c>
      <c r="Q4" s="5" t="s">
        <v>1</v>
      </c>
      <c r="R4" s="5" t="s">
        <v>2</v>
      </c>
      <c r="S4" s="5" t="s">
        <v>6</v>
      </c>
      <c r="T4" s="5" t="s">
        <v>5</v>
      </c>
      <c r="U4" s="5" t="s">
        <v>4</v>
      </c>
      <c r="V4" s="5" t="s">
        <v>41</v>
      </c>
      <c r="X4" s="21" t="s">
        <v>32</v>
      </c>
      <c r="Y4" s="22">
        <v>0.52978339350180503</v>
      </c>
      <c r="Z4" s="23">
        <v>0.58748674443266102</v>
      </c>
      <c r="AA4" s="22">
        <v>0.540554683411826</v>
      </c>
      <c r="AB4" s="22">
        <v>0.53287413901064495</v>
      </c>
    </row>
    <row r="5" spans="1:36" ht="21.6" thickTop="1" x14ac:dyDescent="0.4">
      <c r="B5" s="2">
        <v>2</v>
      </c>
      <c r="C5" s="16">
        <v>-0.28281784478231098</v>
      </c>
      <c r="D5" s="16">
        <v>-0.12479999999999999</v>
      </c>
      <c r="E5" s="16">
        <v>-0.106242447689177</v>
      </c>
      <c r="F5" s="16">
        <v>-0.44750000000000001</v>
      </c>
      <c r="G5" s="16">
        <v>-0.105</v>
      </c>
      <c r="H5" s="16">
        <v>-4.8297299344822499E-3</v>
      </c>
      <c r="I5" s="17">
        <v>0.54400000000000004</v>
      </c>
      <c r="J5" s="3">
        <f t="shared" si="0"/>
        <v>0.54400000000000004</v>
      </c>
      <c r="L5"/>
      <c r="O5" s="6">
        <v>1</v>
      </c>
      <c r="P5" s="8">
        <v>0.104757106822845</v>
      </c>
      <c r="Q5" s="9">
        <v>5.8886835697706703E-2</v>
      </c>
      <c r="R5" s="8">
        <v>6.14501412823662E-2</v>
      </c>
      <c r="S5" s="8">
        <v>0.15</v>
      </c>
      <c r="T5" s="8">
        <v>0.11650000000000001</v>
      </c>
      <c r="U5" s="8">
        <v>9.7406938507284893E-2</v>
      </c>
      <c r="V5" s="8">
        <v>8.9499999999999996E-2</v>
      </c>
      <c r="W5" s="4">
        <f t="shared" ref="W5:W12" si="1">ROUND(MIN(P5,Q5,R5,S5,T5,U5,V5),4)</f>
        <v>5.8900000000000001E-2</v>
      </c>
      <c r="X5" s="24" t="s">
        <v>31</v>
      </c>
      <c r="Y5" s="25">
        <v>0.50655021834061098</v>
      </c>
      <c r="Z5" s="26">
        <v>0.57324032974001204</v>
      </c>
      <c r="AA5" s="25">
        <v>0.52185792349726701</v>
      </c>
      <c r="AB5" s="25">
        <v>0.51081191350469202</v>
      </c>
    </row>
    <row r="6" spans="1:36" x14ac:dyDescent="0.4">
      <c r="B6" s="2">
        <v>3</v>
      </c>
      <c r="C6" s="16">
        <v>3.2376478643679298E-2</v>
      </c>
      <c r="D6" s="17">
        <v>0.15775938268978701</v>
      </c>
      <c r="E6" s="16">
        <v>-2.1956502339060401E-2</v>
      </c>
      <c r="F6" s="16">
        <v>5.9900000000000002E-2</v>
      </c>
      <c r="G6" s="16">
        <v>5.9900000000000002E-2</v>
      </c>
      <c r="H6" s="16">
        <v>-9.8596779362821199E-2</v>
      </c>
      <c r="I6" s="16">
        <v>-1.37E-2</v>
      </c>
      <c r="J6" s="3">
        <f t="shared" si="0"/>
        <v>0.15775938268978701</v>
      </c>
      <c r="L6"/>
      <c r="O6" s="2">
        <v>2</v>
      </c>
      <c r="P6" s="10">
        <v>0.17515430402303001</v>
      </c>
      <c r="Q6" s="11">
        <v>6.0476430228721199E-2</v>
      </c>
      <c r="R6" s="10">
        <v>6.4681221189289803E-2</v>
      </c>
      <c r="S6" s="10">
        <v>0.45</v>
      </c>
      <c r="T6" s="10">
        <v>0.1099</v>
      </c>
      <c r="U6" s="10">
        <v>7.9555165837835007E-2</v>
      </c>
      <c r="V6" s="10">
        <v>0.16400000000000001</v>
      </c>
      <c r="W6" s="4">
        <f t="shared" si="1"/>
        <v>6.0499999999999998E-2</v>
      </c>
      <c r="X6" s="24" t="s">
        <v>30</v>
      </c>
      <c r="Y6" s="25">
        <v>0.76387582314205005</v>
      </c>
      <c r="Z6" s="26">
        <v>0.89593657086223899</v>
      </c>
      <c r="AA6" s="25">
        <v>0.81104033970276002</v>
      </c>
      <c r="AB6" s="25">
        <v>0.81035598705501599</v>
      </c>
    </row>
    <row r="7" spans="1:36" ht="21.6" thickBot="1" x14ac:dyDescent="0.45">
      <c r="B7" s="5">
        <v>4</v>
      </c>
      <c r="C7" s="18">
        <v>0.130600488665334</v>
      </c>
      <c r="D7" s="18">
        <v>-9.7649616089392696E-2</v>
      </c>
      <c r="E7" s="18">
        <v>0.108324623529542</v>
      </c>
      <c r="F7" s="18">
        <v>-0.185</v>
      </c>
      <c r="G7" s="18">
        <v>2.0899999999999998E-2</v>
      </c>
      <c r="H7" s="18">
        <v>3.8114888298811399E-2</v>
      </c>
      <c r="I7" s="19">
        <v>0.18770000000000001</v>
      </c>
      <c r="J7" s="3">
        <f t="shared" si="0"/>
        <v>0.18770000000000001</v>
      </c>
      <c r="L7"/>
      <c r="O7" s="2">
        <v>3</v>
      </c>
      <c r="P7" s="10">
        <v>0.203860536736231</v>
      </c>
      <c r="Q7" s="10">
        <v>7.23389740496682E-2</v>
      </c>
      <c r="R7" s="10">
        <v>6.8887363848418801E-2</v>
      </c>
      <c r="S7" s="10">
        <v>0.08</v>
      </c>
      <c r="T7" s="11">
        <v>4.4699999999999997E-2</v>
      </c>
      <c r="U7" s="10">
        <v>0.129138389811946</v>
      </c>
      <c r="V7" s="10">
        <v>0.114</v>
      </c>
      <c r="W7" s="4">
        <f t="shared" si="1"/>
        <v>4.4699999999999997E-2</v>
      </c>
      <c r="X7" s="24" t="s">
        <v>33</v>
      </c>
      <c r="Y7" s="25">
        <v>0.60915228807201804</v>
      </c>
      <c r="Z7" s="26">
        <v>0.69914926527455501</v>
      </c>
      <c r="AA7" s="25">
        <v>0.635078969243557</v>
      </c>
      <c r="AB7" s="25">
        <v>0.62662662662662605</v>
      </c>
    </row>
    <row r="8" spans="1:36" ht="22.2" thickTop="1" thickBot="1" x14ac:dyDescent="0.45">
      <c r="B8" s="6" t="s">
        <v>7</v>
      </c>
      <c r="C8" s="14">
        <f t="shared" ref="C8:I8" si="2">MIN(C4,C5,C6,C7)*100%</f>
        <v>-0.28281784478231098</v>
      </c>
      <c r="D8" s="14">
        <f t="shared" si="2"/>
        <v>-0.12479999999999999</v>
      </c>
      <c r="E8" s="14">
        <f t="shared" si="2"/>
        <v>-0.118785917152203</v>
      </c>
      <c r="F8" s="14">
        <f t="shared" si="2"/>
        <v>-0.44750000000000001</v>
      </c>
      <c r="G8" s="14">
        <f t="shared" si="2"/>
        <v>-0.105</v>
      </c>
      <c r="H8" s="14">
        <f t="shared" si="2"/>
        <v>-9.8596779362821199E-2</v>
      </c>
      <c r="I8" s="15">
        <f t="shared" si="2"/>
        <v>-6.88E-2</v>
      </c>
      <c r="J8" s="3">
        <f t="shared" si="0"/>
        <v>-6.88E-2</v>
      </c>
      <c r="O8" s="5">
        <v>4</v>
      </c>
      <c r="P8" s="13">
        <v>0.15513955780277</v>
      </c>
      <c r="Q8" s="13">
        <v>0.113693572198309</v>
      </c>
      <c r="R8" s="12">
        <v>0.107501430066314</v>
      </c>
      <c r="S8" s="13">
        <v>0.2</v>
      </c>
      <c r="T8" s="13">
        <v>0.1108</v>
      </c>
      <c r="U8" s="13">
        <v>0.150697833648719</v>
      </c>
      <c r="V8" s="13">
        <v>0.16539999999999999</v>
      </c>
      <c r="W8" s="4">
        <f t="shared" si="1"/>
        <v>0.1075</v>
      </c>
    </row>
    <row r="9" spans="1:36" ht="21.6" thickTop="1" x14ac:dyDescent="0.4">
      <c r="B9" s="2" t="s">
        <v>8</v>
      </c>
      <c r="C9" s="16">
        <f>MAX(C4:C7)*100%</f>
        <v>0.130600488665334</v>
      </c>
      <c r="D9" s="16">
        <f t="shared" ref="D9:I9" si="3">MAX(D4:D7)*100%</f>
        <v>0.15775938268978701</v>
      </c>
      <c r="E9" s="16">
        <f t="shared" si="3"/>
        <v>0.108324623529542</v>
      </c>
      <c r="F9" s="16">
        <f t="shared" si="3"/>
        <v>0.4884</v>
      </c>
      <c r="G9" s="16">
        <f t="shared" si="3"/>
        <v>5.9900000000000002E-2</v>
      </c>
      <c r="H9" s="16">
        <f t="shared" si="3"/>
        <v>0.148466852411136</v>
      </c>
      <c r="I9" s="17">
        <f t="shared" si="3"/>
        <v>0.54400000000000004</v>
      </c>
      <c r="J9" s="3">
        <f t="shared" si="0"/>
        <v>0.54400000000000004</v>
      </c>
      <c r="O9" s="6" t="s">
        <v>7</v>
      </c>
      <c r="P9" s="8">
        <f t="shared" ref="P9" si="4">ROUND(MIN(P5,P6,P7,P8),2)</f>
        <v>0.1</v>
      </c>
      <c r="Q9" s="8">
        <f>ROUND(MIN(Q5,Q6,Q7,Q8),2)</f>
        <v>0.06</v>
      </c>
      <c r="R9" s="8">
        <f t="shared" ref="R9:V9" si="5">ROUND(MIN(R5,R6,R7,R8),2)</f>
        <v>0.06</v>
      </c>
      <c r="S9" s="8">
        <f t="shared" si="5"/>
        <v>0.08</v>
      </c>
      <c r="T9" s="9">
        <f t="shared" si="5"/>
        <v>0.04</v>
      </c>
      <c r="U9" s="8">
        <f t="shared" si="5"/>
        <v>0.08</v>
      </c>
      <c r="V9" s="8">
        <f t="shared" si="5"/>
        <v>0.09</v>
      </c>
      <c r="W9" s="4">
        <f t="shared" si="1"/>
        <v>0.04</v>
      </c>
      <c r="AC9"/>
      <c r="AD9"/>
      <c r="AE9"/>
      <c r="AF9"/>
      <c r="AG9"/>
      <c r="AH9"/>
      <c r="AI9"/>
      <c r="AJ9"/>
    </row>
    <row r="10" spans="1:36" x14ac:dyDescent="0.4">
      <c r="B10" s="2" t="s">
        <v>9</v>
      </c>
      <c r="C10" s="16">
        <f t="shared" ref="C10:I10" si="6">ROUND(AVERAGE(C4,C5,C6,C7),4)*100%</f>
        <v>-5.7500000000000002E-2</v>
      </c>
      <c r="D10" s="16">
        <f t="shared" si="6"/>
        <v>-4.53E-2</v>
      </c>
      <c r="E10" s="16">
        <f t="shared" si="6"/>
        <v>-3.4700000000000002E-2</v>
      </c>
      <c r="F10" s="16">
        <f t="shared" si="6"/>
        <v>-2.1100000000000001E-2</v>
      </c>
      <c r="G10" s="16">
        <f t="shared" si="6"/>
        <v>-1.2699999999999999E-2</v>
      </c>
      <c r="H10" s="16">
        <f t="shared" si="6"/>
        <v>2.0799999999999999E-2</v>
      </c>
      <c r="I10" s="17">
        <f t="shared" si="6"/>
        <v>0.1623</v>
      </c>
      <c r="J10" s="3">
        <f t="shared" si="0"/>
        <v>0.1623</v>
      </c>
      <c r="O10" s="2" t="s">
        <v>8</v>
      </c>
      <c r="P10" s="10">
        <f>ROUND(MAX(P5:P8),2)</f>
        <v>0.2</v>
      </c>
      <c r="Q10" s="10">
        <f t="shared" ref="Q10:V10" si="7">ROUND(MAX(Q5:Q8),2)</f>
        <v>0.11</v>
      </c>
      <c r="R10" s="11">
        <f t="shared" si="7"/>
        <v>0.11</v>
      </c>
      <c r="S10" s="10">
        <f t="shared" si="7"/>
        <v>0.45</v>
      </c>
      <c r="T10" s="10">
        <f t="shared" si="7"/>
        <v>0.12</v>
      </c>
      <c r="U10" s="10">
        <f t="shared" si="7"/>
        <v>0.15</v>
      </c>
      <c r="V10" s="10">
        <f t="shared" si="7"/>
        <v>0.17</v>
      </c>
      <c r="W10" s="4">
        <f t="shared" si="1"/>
        <v>0.11</v>
      </c>
      <c r="AC10"/>
      <c r="AD10"/>
      <c r="AE10"/>
      <c r="AF10"/>
      <c r="AG10"/>
      <c r="AH10"/>
      <c r="AI10"/>
      <c r="AJ10"/>
    </row>
    <row r="11" spans="1:36" x14ac:dyDescent="0.4">
      <c r="B11" s="2" t="s">
        <v>10</v>
      </c>
      <c r="C11" s="10">
        <f t="shared" ref="C11:I11" si="8">ROUND(_xlfn.STDEV.S(C4,C5,C6,C7),2)</f>
        <v>0.18</v>
      </c>
      <c r="D11" s="10">
        <f t="shared" si="8"/>
        <v>0.14000000000000001</v>
      </c>
      <c r="E11" s="10">
        <f t="shared" si="8"/>
        <v>0.1</v>
      </c>
      <c r="F11" s="10">
        <f t="shared" si="8"/>
        <v>0.4</v>
      </c>
      <c r="G11" s="11">
        <f t="shared" si="8"/>
        <v>7.0000000000000007E-2</v>
      </c>
      <c r="H11" s="10">
        <f t="shared" si="8"/>
        <v>0.1</v>
      </c>
      <c r="I11" s="10">
        <f t="shared" si="8"/>
        <v>0.28000000000000003</v>
      </c>
      <c r="J11" s="3">
        <f>MIN(C11:I11)</f>
        <v>7.0000000000000007E-2</v>
      </c>
      <c r="O11" s="2" t="s">
        <v>9</v>
      </c>
      <c r="P11" s="10">
        <f t="shared" ref="P11" si="9">ROUND(AVERAGE(P5,P6,P7,P8),2)</f>
        <v>0.16</v>
      </c>
      <c r="Q11" s="11">
        <f>ROUND(AVERAGE(Q5,Q6,Q7,Q8),2)</f>
        <v>0.08</v>
      </c>
      <c r="R11" s="10">
        <f t="shared" ref="R11:V11" si="10">ROUND(AVERAGE(R5,R6,R7,R8),2)</f>
        <v>0.08</v>
      </c>
      <c r="S11" s="10">
        <f t="shared" si="10"/>
        <v>0.22</v>
      </c>
      <c r="T11" s="10">
        <f t="shared" si="10"/>
        <v>0.1</v>
      </c>
      <c r="U11" s="10">
        <f t="shared" si="10"/>
        <v>0.11</v>
      </c>
      <c r="V11" s="10">
        <f t="shared" si="10"/>
        <v>0.13</v>
      </c>
      <c r="W11" s="4">
        <f t="shared" si="1"/>
        <v>0.08</v>
      </c>
      <c r="AC11"/>
      <c r="AD11"/>
      <c r="AE11"/>
      <c r="AF11"/>
      <c r="AG11"/>
      <c r="AH11"/>
      <c r="AI11"/>
      <c r="AJ11"/>
    </row>
    <row r="12" spans="1:36" x14ac:dyDescent="0.4">
      <c r="B12" s="1" t="s">
        <v>35</v>
      </c>
      <c r="C12" s="3" cm="1">
        <f t="array" ref="C12">GEOMEAN(C4:C7+1)-1</f>
        <v>-7.0968257775032795E-2</v>
      </c>
      <c r="D12" s="3" cm="1">
        <f t="array" ref="D12">GEOMEAN(D4:D7+1)-1</f>
        <v>-5.1986478767086175E-2</v>
      </c>
      <c r="E12" s="3" cm="1">
        <f t="array" ref="E12">GEOMEAN(E4:E7+1)-1</f>
        <v>-3.8760571726609738E-2</v>
      </c>
      <c r="F12" s="3" cm="1">
        <f t="array" ref="F12">GEOMEAN(F4:F7+1)-1</f>
        <v>-8.1945188334562546E-2</v>
      </c>
      <c r="G12" s="3" cm="1">
        <f t="array" ref="G12">GEOMEAN(G4:G7+1)-1</f>
        <v>-1.4675086965290518E-2</v>
      </c>
      <c r="H12" s="3" cm="1">
        <f t="array" ref="H12">GEOMEAN(H4:H7+1)-1</f>
        <v>1.6939451463911182E-2</v>
      </c>
      <c r="I12" s="3" cm="1">
        <f t="array" ref="I12">GEOMEAN(I4:I7+1)-1</f>
        <v>0.13920403154228911</v>
      </c>
      <c r="O12" s="2" t="s">
        <v>10</v>
      </c>
      <c r="P12" s="10">
        <f t="shared" ref="P12" si="11">ROUND(_xlfn.STDEV.S(P5,P6,P7,P8),2)</f>
        <v>0.04</v>
      </c>
      <c r="Q12" s="10">
        <f>ROUND(_xlfn.STDEV.S(Q5,Q6,Q7,Q8),2)</f>
        <v>0.03</v>
      </c>
      <c r="R12" s="11">
        <f t="shared" ref="R12:V12" si="12">ROUND(_xlfn.STDEV.S(R5,R6,R7,R8),2)</f>
        <v>0.02</v>
      </c>
      <c r="S12" s="10">
        <f t="shared" si="12"/>
        <v>0.16</v>
      </c>
      <c r="T12" s="10">
        <f t="shared" si="12"/>
        <v>0.03</v>
      </c>
      <c r="U12" s="10">
        <f t="shared" si="12"/>
        <v>0.03</v>
      </c>
      <c r="V12" s="10">
        <f t="shared" si="12"/>
        <v>0.04</v>
      </c>
      <c r="W12" s="4">
        <f t="shared" si="1"/>
        <v>0.02</v>
      </c>
      <c r="AC12"/>
      <c r="AD12"/>
      <c r="AE12"/>
      <c r="AF12"/>
      <c r="AG12"/>
      <c r="AH12"/>
      <c r="AI12"/>
      <c r="AJ12"/>
    </row>
    <row r="13" spans="1:36" x14ac:dyDescent="0.4">
      <c r="A13" s="29"/>
      <c r="B13" s="32" t="s">
        <v>0</v>
      </c>
      <c r="C13" s="34" t="s">
        <v>11</v>
      </c>
      <c r="D13" s="35"/>
      <c r="E13" s="35"/>
      <c r="F13" s="35"/>
      <c r="G13" s="35"/>
      <c r="H13" s="35"/>
      <c r="I13" s="36"/>
      <c r="AC13"/>
      <c r="AD13"/>
      <c r="AE13"/>
      <c r="AF13"/>
      <c r="AG13"/>
      <c r="AH13"/>
      <c r="AI13"/>
      <c r="AJ13"/>
    </row>
    <row r="14" spans="1:36" ht="21.6" thickBot="1" x14ac:dyDescent="0.45">
      <c r="A14" s="29"/>
      <c r="B14" s="33"/>
      <c r="C14" s="5" t="s">
        <v>3</v>
      </c>
      <c r="D14" s="5" t="s">
        <v>1</v>
      </c>
      <c r="E14" s="5" t="s">
        <v>2</v>
      </c>
      <c r="F14" s="5" t="s">
        <v>6</v>
      </c>
      <c r="G14" s="5" t="s">
        <v>5</v>
      </c>
      <c r="H14" s="5" t="s">
        <v>4</v>
      </c>
      <c r="I14" s="5" t="s">
        <v>41</v>
      </c>
      <c r="AC14"/>
      <c r="AD14"/>
      <c r="AE14"/>
      <c r="AF14"/>
      <c r="AG14"/>
      <c r="AH14"/>
      <c r="AI14"/>
      <c r="AJ14"/>
    </row>
    <row r="15" spans="1:36" ht="21.6" thickTop="1" x14ac:dyDescent="0.4">
      <c r="B15" s="6">
        <v>1</v>
      </c>
      <c r="C15" s="8">
        <v>-0.566715968185731</v>
      </c>
      <c r="D15" s="8">
        <v>-0.73340551137417098</v>
      </c>
      <c r="E15" s="8">
        <v>-0.69400217150172105</v>
      </c>
      <c r="F15" s="8">
        <v>0.66</v>
      </c>
      <c r="G15" s="8">
        <v>-0.15690000000000001</v>
      </c>
      <c r="H15" s="9">
        <v>0.67140506911049602</v>
      </c>
      <c r="I15" s="8">
        <v>-0.14399999999999999</v>
      </c>
      <c r="J15" s="4">
        <f>ROUND(MAX(C15:I15),4)</f>
        <v>0.6714</v>
      </c>
      <c r="AC15"/>
      <c r="AD15"/>
      <c r="AE15"/>
      <c r="AF15"/>
      <c r="AG15"/>
      <c r="AH15"/>
      <c r="AI15"/>
      <c r="AJ15"/>
    </row>
    <row r="16" spans="1:36" x14ac:dyDescent="0.4">
      <c r="B16" s="2">
        <v>2</v>
      </c>
      <c r="C16" s="10">
        <v>-0.86530351532185201</v>
      </c>
      <c r="D16" s="10">
        <v>-0.62777673383018495</v>
      </c>
      <c r="E16" s="10">
        <v>-0.51779829523438703</v>
      </c>
      <c r="F16" s="10">
        <v>-2</v>
      </c>
      <c r="G16" s="10">
        <v>-2.5017</v>
      </c>
      <c r="H16" s="10">
        <v>7.1140368608604496E-2</v>
      </c>
      <c r="I16" s="11">
        <v>1.2025999999999999</v>
      </c>
      <c r="J16" s="4">
        <f t="shared" ref="J16:J21" si="13">ROUND(MAX(C16:I16),4)</f>
        <v>1.2025999999999999</v>
      </c>
      <c r="AC16"/>
      <c r="AD16"/>
      <c r="AE16"/>
      <c r="AF16"/>
      <c r="AG16"/>
      <c r="AH16"/>
      <c r="AI16"/>
      <c r="AJ16"/>
    </row>
    <row r="17" spans="2:36" x14ac:dyDescent="0.4">
      <c r="B17" s="2">
        <v>3</v>
      </c>
      <c r="C17" s="10">
        <v>0.24398669132034101</v>
      </c>
      <c r="D17" s="11">
        <v>1.01891675767663</v>
      </c>
      <c r="E17" s="10">
        <v>-6.7605966701271905E-2</v>
      </c>
      <c r="F17" s="10">
        <v>0.26</v>
      </c>
      <c r="G17" s="10">
        <v>0.85170000000000001</v>
      </c>
      <c r="H17" s="10">
        <v>-0.27038069152404298</v>
      </c>
      <c r="I17" s="10">
        <v>7.8100000000000003E-2</v>
      </c>
      <c r="J17" s="4">
        <f t="shared" si="13"/>
        <v>1.0188999999999999</v>
      </c>
      <c r="P17" s="7" t="s">
        <v>34</v>
      </c>
      <c r="S17"/>
      <c r="T17"/>
      <c r="U17"/>
      <c r="V17"/>
      <c r="Y17" s="1" t="s">
        <v>39</v>
      </c>
      <c r="AC17"/>
      <c r="AD17"/>
      <c r="AE17"/>
      <c r="AF17"/>
      <c r="AG17"/>
      <c r="AH17"/>
      <c r="AI17"/>
      <c r="AJ17"/>
    </row>
    <row r="18" spans="2:36" ht="21.6" thickBot="1" x14ac:dyDescent="0.45">
      <c r="B18" s="5">
        <v>4</v>
      </c>
      <c r="C18" s="12">
        <v>0.76057679786440302</v>
      </c>
      <c r="D18" s="13">
        <v>-0.39357657770913901</v>
      </c>
      <c r="E18" s="13">
        <v>0.57897604783438905</v>
      </c>
      <c r="F18" s="13">
        <v>-0.74</v>
      </c>
      <c r="G18" s="13">
        <v>0.219</v>
      </c>
      <c r="H18" s="13">
        <v>0.24825594934612499</v>
      </c>
      <c r="I18" s="13">
        <v>0.53979999999999995</v>
      </c>
      <c r="J18" s="4">
        <f t="shared" si="13"/>
        <v>0.76060000000000005</v>
      </c>
      <c r="S18"/>
      <c r="T18"/>
      <c r="U18"/>
      <c r="V18"/>
      <c r="X18" s="1" t="s">
        <v>40</v>
      </c>
      <c r="Y18" s="3">
        <v>7.0999999999999994E-2</v>
      </c>
      <c r="AC18"/>
      <c r="AD18"/>
      <c r="AE18"/>
      <c r="AF18"/>
      <c r="AG18"/>
      <c r="AH18"/>
      <c r="AI18"/>
      <c r="AJ18"/>
    </row>
    <row r="19" spans="2:36" ht="21.6" thickTop="1" x14ac:dyDescent="0.4">
      <c r="B19" s="6" t="s">
        <v>7</v>
      </c>
      <c r="C19" s="8">
        <f t="shared" ref="C19" si="14">ROUND(MIN(C15,C16,C17,C18),2)</f>
        <v>-0.87</v>
      </c>
      <c r="D19" s="8">
        <f t="shared" ref="D19" si="15">ROUND(MIN(D15,D16,D17,D18),2)</f>
        <v>-0.73</v>
      </c>
      <c r="E19" s="8">
        <f>ROUND(MIN(E15,E16,E17,E18),2)</f>
        <v>-0.69</v>
      </c>
      <c r="F19" s="8">
        <f t="shared" ref="F19" si="16">ROUND(MIN(F15,F16,F17,F18),2)</f>
        <v>-2</v>
      </c>
      <c r="G19" s="8">
        <f>ROUND(MIN(G15,G16,G17,G18),2)</f>
        <v>-2.5</v>
      </c>
      <c r="H19" s="8">
        <f>ROUND(MIN(H15,H16,H17,H18),2)</f>
        <v>-0.27</v>
      </c>
      <c r="I19" s="9">
        <f>ROUND(MIN(I15,I16,I17,I18),2)</f>
        <v>-0.14000000000000001</v>
      </c>
      <c r="J19" s="4">
        <f t="shared" si="13"/>
        <v>-0.14000000000000001</v>
      </c>
      <c r="O19" s="7">
        <v>0.1</v>
      </c>
      <c r="P19" s="3">
        <v>0.13919999999999999</v>
      </c>
      <c r="S19"/>
      <c r="T19"/>
      <c r="U19"/>
      <c r="V19"/>
      <c r="X19" s="1" t="s">
        <v>28</v>
      </c>
      <c r="Y19" s="3">
        <v>0.09</v>
      </c>
      <c r="AC19"/>
      <c r="AD19"/>
      <c r="AE19"/>
      <c r="AF19"/>
      <c r="AG19"/>
      <c r="AH19"/>
      <c r="AI19"/>
      <c r="AJ19"/>
    </row>
    <row r="20" spans="2:36" x14ac:dyDescent="0.4">
      <c r="B20" s="2" t="s">
        <v>8</v>
      </c>
      <c r="C20" s="10">
        <f>ROUND(MAX(C15:C18),2)</f>
        <v>0.76</v>
      </c>
      <c r="D20" s="10">
        <f t="shared" ref="D20:I20" si="17">ROUND(MAX(D15:D18),2)</f>
        <v>1.02</v>
      </c>
      <c r="E20" s="10">
        <f t="shared" si="17"/>
        <v>0.57999999999999996</v>
      </c>
      <c r="F20" s="10">
        <f t="shared" si="17"/>
        <v>0.66</v>
      </c>
      <c r="G20" s="10">
        <f t="shared" si="17"/>
        <v>0.85</v>
      </c>
      <c r="H20" s="10">
        <f t="shared" si="17"/>
        <v>0.67</v>
      </c>
      <c r="I20" s="11">
        <f t="shared" si="17"/>
        <v>1.2</v>
      </c>
      <c r="J20" s="4">
        <f t="shared" si="13"/>
        <v>1.2</v>
      </c>
      <c r="O20" s="7">
        <v>0.15</v>
      </c>
      <c r="P20" s="3">
        <v>-8.14E-2</v>
      </c>
      <c r="S20"/>
      <c r="T20"/>
      <c r="U20"/>
      <c r="V20"/>
      <c r="X20" s="1" t="s">
        <v>26</v>
      </c>
      <c r="Y20" s="3">
        <v>9.2999999999999999E-2</v>
      </c>
      <c r="AC20"/>
      <c r="AD20"/>
      <c r="AE20"/>
      <c r="AF20"/>
      <c r="AG20"/>
      <c r="AH20"/>
      <c r="AI20"/>
      <c r="AJ20"/>
    </row>
    <row r="21" spans="2:36" x14ac:dyDescent="0.4">
      <c r="B21" s="2" t="s">
        <v>9</v>
      </c>
      <c r="C21" s="10">
        <f t="shared" ref="C21" si="18">ROUND(AVERAGE(C15,C16,C17,C18),2)</f>
        <v>-0.11</v>
      </c>
      <c r="D21" s="10">
        <f t="shared" ref="D21" si="19">ROUND(AVERAGE(D15,D16,D17,D18),2)</f>
        <v>-0.18</v>
      </c>
      <c r="E21" s="10">
        <f>ROUND(AVERAGE(E15,E16,E17,E18),2)</f>
        <v>-0.18</v>
      </c>
      <c r="F21" s="10">
        <f t="shared" ref="F21" si="20">ROUND(AVERAGE(F15,F16,F17,F18),2)</f>
        <v>-0.46</v>
      </c>
      <c r="G21" s="10">
        <f>ROUND(AVERAGE(G15,G16,G17,G18),2)</f>
        <v>-0.4</v>
      </c>
      <c r="H21" s="10">
        <f>ROUND(AVERAGE(H15,H16,H17,H18),2)</f>
        <v>0.18</v>
      </c>
      <c r="I21" s="11">
        <f>ROUND(AVERAGE(I15,I16,I17,I18),2)</f>
        <v>0.42</v>
      </c>
      <c r="J21" s="4">
        <f t="shared" si="13"/>
        <v>0.42</v>
      </c>
      <c r="O21" s="7">
        <v>0.2</v>
      </c>
      <c r="P21" s="3">
        <v>-8.4599999999999995E-2</v>
      </c>
      <c r="S21"/>
      <c r="T21"/>
      <c r="U21"/>
      <c r="V21"/>
      <c r="X21" s="1" t="s">
        <v>29</v>
      </c>
      <c r="Y21" s="3">
        <v>0.11700000000000001</v>
      </c>
      <c r="AC21"/>
      <c r="AD21"/>
      <c r="AE21"/>
      <c r="AF21"/>
      <c r="AG21"/>
      <c r="AH21"/>
      <c r="AI21"/>
      <c r="AJ21"/>
    </row>
    <row r="22" spans="2:36" x14ac:dyDescent="0.4">
      <c r="B22" s="2" t="s">
        <v>10</v>
      </c>
      <c r="C22" s="10">
        <f t="shared" ref="C22" si="21">ROUND(_xlfn.STDEV.S(C15,C16,C17,C18),2)</f>
        <v>0.74</v>
      </c>
      <c r="D22" s="10">
        <f t="shared" ref="D22" si="22">ROUND(_xlfn.STDEV.S(D15,D16,D17,D18),2)</f>
        <v>0.81</v>
      </c>
      <c r="E22" s="10">
        <f>ROUND(_xlfn.STDEV.S(E15,E16,E17,E18),2)</f>
        <v>0.56999999999999995</v>
      </c>
      <c r="F22" s="10">
        <f t="shared" ref="F22" si="23">ROUND(_xlfn.STDEV.S(F15,F16,F17,F18),2)</f>
        <v>1.19</v>
      </c>
      <c r="G22" s="10">
        <f>ROUND(_xlfn.STDEV.S(G15,G16,G17,G18),2)</f>
        <v>1.46</v>
      </c>
      <c r="H22" s="11">
        <f>ROUND(_xlfn.STDEV.S(H15,H16,H17,H18),2)</f>
        <v>0.39</v>
      </c>
      <c r="I22" s="10">
        <f>ROUND(_xlfn.STDEV.S(I15,I16,I17,I18),2)</f>
        <v>0.59</v>
      </c>
      <c r="J22" s="4">
        <f>ROUND(MIN(C22:I22),4)</f>
        <v>0.39</v>
      </c>
      <c r="O22" s="7">
        <v>0.25</v>
      </c>
      <c r="P22" s="3">
        <v>-8.9700000000000002E-2</v>
      </c>
      <c r="S22"/>
      <c r="T22"/>
      <c r="U22"/>
      <c r="V22"/>
      <c r="X22" s="1" t="s">
        <v>27</v>
      </c>
      <c r="Y22" s="3">
        <v>0.18099999999999999</v>
      </c>
      <c r="AC22"/>
      <c r="AD22"/>
      <c r="AE22"/>
      <c r="AF22"/>
      <c r="AG22"/>
      <c r="AH22"/>
      <c r="AI22"/>
      <c r="AJ22"/>
    </row>
    <row r="23" spans="2:36" x14ac:dyDescent="0.4">
      <c r="O23" s="7">
        <v>0.3</v>
      </c>
      <c r="P23" s="3">
        <v>-9.2200000000000004E-2</v>
      </c>
      <c r="S23"/>
      <c r="T23"/>
      <c r="U23"/>
      <c r="V23"/>
      <c r="AC23"/>
      <c r="AD23"/>
      <c r="AE23"/>
      <c r="AF23"/>
      <c r="AG23"/>
      <c r="AH23"/>
      <c r="AI23"/>
      <c r="AJ23"/>
    </row>
    <row r="24" spans="2:36" x14ac:dyDescent="0.4">
      <c r="S24"/>
      <c r="T24"/>
      <c r="U24"/>
      <c r="V24"/>
      <c r="AC24"/>
      <c r="AD24"/>
      <c r="AE24"/>
      <c r="AF24"/>
      <c r="AG24"/>
      <c r="AH24"/>
      <c r="AI24"/>
      <c r="AJ24"/>
    </row>
    <row r="25" spans="2:36" x14ac:dyDescent="0.4">
      <c r="B25" s="3"/>
      <c r="S25"/>
      <c r="T25"/>
      <c r="U25"/>
      <c r="V25"/>
      <c r="AC25"/>
      <c r="AD25"/>
      <c r="AE25"/>
      <c r="AF25"/>
      <c r="AG25"/>
      <c r="AH25"/>
      <c r="AI25"/>
      <c r="AJ25"/>
    </row>
    <row r="26" spans="2:36" x14ac:dyDescent="0.4">
      <c r="B26" s="3"/>
      <c r="S26"/>
      <c r="T26"/>
      <c r="U26"/>
      <c r="V26"/>
    </row>
    <row r="27" spans="2:36" x14ac:dyDescent="0.4">
      <c r="B27" s="3"/>
      <c r="S27"/>
      <c r="T27"/>
      <c r="U27"/>
      <c r="V27"/>
    </row>
    <row r="28" spans="2:36" x14ac:dyDescent="0.4">
      <c r="P28" s="7" t="s">
        <v>38</v>
      </c>
      <c r="S28"/>
      <c r="T28"/>
      <c r="U28"/>
      <c r="V28"/>
    </row>
    <row r="29" spans="2:36" x14ac:dyDescent="0.4">
      <c r="C29" s="1" t="s">
        <v>37</v>
      </c>
      <c r="S29"/>
      <c r="T29"/>
      <c r="U29"/>
      <c r="V29"/>
    </row>
    <row r="30" spans="2:36" x14ac:dyDescent="0.4">
      <c r="O30" s="1">
        <v>3</v>
      </c>
      <c r="P30" s="27">
        <v>-0.13420000000000001</v>
      </c>
      <c r="Q30"/>
      <c r="R30"/>
      <c r="S30"/>
      <c r="T30"/>
      <c r="U30"/>
    </row>
    <row r="31" spans="2:36" x14ac:dyDescent="0.4">
      <c r="B31" s="1" t="s">
        <v>13</v>
      </c>
      <c r="C31" s="1" t="s">
        <v>22</v>
      </c>
      <c r="D31" s="1" t="s">
        <v>23</v>
      </c>
      <c r="E31" s="1" t="s">
        <v>24</v>
      </c>
      <c r="O31" s="1">
        <v>4</v>
      </c>
      <c r="P31" s="28">
        <v>0.05</v>
      </c>
      <c r="Q31"/>
      <c r="R31"/>
      <c r="S31"/>
      <c r="T31"/>
      <c r="U31"/>
    </row>
    <row r="32" spans="2:36" x14ac:dyDescent="0.4">
      <c r="B32" s="1" t="s">
        <v>15</v>
      </c>
      <c r="C32" s="3">
        <v>-0.12770000000000001</v>
      </c>
      <c r="D32" s="1">
        <v>-0.44180000000000003</v>
      </c>
      <c r="E32" s="1">
        <v>0.10059999999999999</v>
      </c>
      <c r="F32"/>
      <c r="G32"/>
      <c r="O32" s="1">
        <v>5</v>
      </c>
      <c r="P32" s="27">
        <v>6.1100000000000002E-2</v>
      </c>
      <c r="Q32"/>
      <c r="R32"/>
      <c r="S32"/>
      <c r="T32"/>
      <c r="U32"/>
    </row>
    <row r="33" spans="2:23" x14ac:dyDescent="0.4">
      <c r="B33" s="1" t="s">
        <v>18</v>
      </c>
      <c r="C33" s="3">
        <v>-5.5599999999999997E-2</v>
      </c>
      <c r="D33" s="1">
        <v>-0.1507</v>
      </c>
      <c r="E33" s="1">
        <v>0.1066</v>
      </c>
      <c r="F33"/>
      <c r="G33"/>
      <c r="O33" s="1">
        <v>6</v>
      </c>
      <c r="P33" s="27">
        <v>0.13919999999999999</v>
      </c>
      <c r="Q33"/>
      <c r="R33"/>
      <c r="S33"/>
      <c r="T33"/>
      <c r="U33"/>
    </row>
    <row r="34" spans="2:23" x14ac:dyDescent="0.4">
      <c r="B34" s="1" t="s">
        <v>16</v>
      </c>
      <c r="C34" s="3">
        <v>-4.2099999999999999E-2</v>
      </c>
      <c r="D34" s="1">
        <v>-0.1552</v>
      </c>
      <c r="E34" s="1">
        <v>0.1401</v>
      </c>
      <c r="F34"/>
      <c r="G34"/>
      <c r="O34" s="1">
        <v>7</v>
      </c>
      <c r="P34" s="27">
        <v>-2.7900000000000001E-2</v>
      </c>
      <c r="Q34"/>
      <c r="R34"/>
      <c r="S34"/>
      <c r="T34"/>
      <c r="U34"/>
    </row>
    <row r="35" spans="2:23" x14ac:dyDescent="0.4">
      <c r="B35" s="1" t="s">
        <v>17</v>
      </c>
      <c r="C35" s="3">
        <v>-3.2199999999999999E-2</v>
      </c>
      <c r="D35" s="1">
        <v>-4.9399999999999999E-2</v>
      </c>
      <c r="E35" s="1">
        <v>0.1356</v>
      </c>
      <c r="F35"/>
      <c r="G35"/>
      <c r="O35"/>
      <c r="P35"/>
      <c r="Q35"/>
      <c r="R35"/>
      <c r="S35"/>
      <c r="T35"/>
      <c r="U35"/>
    </row>
    <row r="36" spans="2:23" x14ac:dyDescent="0.4">
      <c r="B36" s="1" t="s">
        <v>19</v>
      </c>
      <c r="C36" s="3">
        <v>4.99E-2</v>
      </c>
      <c r="D36" s="1">
        <v>0.17019999999999999</v>
      </c>
      <c r="E36" s="1">
        <v>0.17649999999999999</v>
      </c>
      <c r="F36"/>
      <c r="G36"/>
      <c r="O36"/>
      <c r="P36"/>
      <c r="Q36"/>
      <c r="R36"/>
      <c r="S36"/>
      <c r="T36"/>
      <c r="U36"/>
      <c r="V36"/>
      <c r="W36"/>
    </row>
    <row r="37" spans="2:23" x14ac:dyDescent="0.4">
      <c r="B37" s="1" t="s">
        <v>20</v>
      </c>
      <c r="C37" s="3">
        <v>5.2499999999999998E-2</v>
      </c>
      <c r="D37" s="1">
        <v>0.18509999999999999</v>
      </c>
      <c r="E37" s="1">
        <v>0.17269999999999999</v>
      </c>
      <c r="F37"/>
      <c r="G37"/>
      <c r="O37"/>
      <c r="P37"/>
      <c r="Q37"/>
      <c r="R37"/>
      <c r="S37"/>
      <c r="T37"/>
      <c r="U37"/>
      <c r="V37"/>
      <c r="W37"/>
    </row>
    <row r="38" spans="2:23" x14ac:dyDescent="0.4">
      <c r="B38" s="1" t="s">
        <v>14</v>
      </c>
      <c r="C38" s="3">
        <v>0.1623</v>
      </c>
      <c r="D38" s="1">
        <v>0.41909999999999997</v>
      </c>
      <c r="E38" s="1">
        <v>0.13320000000000001</v>
      </c>
      <c r="F38"/>
      <c r="G38"/>
      <c r="O38"/>
      <c r="P38"/>
      <c r="Q38"/>
      <c r="R38"/>
      <c r="S38"/>
      <c r="T38"/>
      <c r="U38"/>
      <c r="V38"/>
      <c r="W38"/>
    </row>
    <row r="39" spans="2:23" x14ac:dyDescent="0.4">
      <c r="O39"/>
      <c r="P39"/>
      <c r="Q39"/>
      <c r="R39"/>
      <c r="S39"/>
      <c r="T39"/>
      <c r="U39"/>
      <c r="V39"/>
      <c r="W39"/>
    </row>
    <row r="40" spans="2:23" x14ac:dyDescent="0.4">
      <c r="O40"/>
      <c r="P40"/>
      <c r="Q40"/>
      <c r="R40"/>
      <c r="S40"/>
      <c r="T40"/>
      <c r="U40"/>
      <c r="V40"/>
      <c r="W40"/>
    </row>
    <row r="41" spans="2:23" x14ac:dyDescent="0.4">
      <c r="O41"/>
      <c r="P41"/>
      <c r="Q41"/>
      <c r="R41"/>
      <c r="S41"/>
      <c r="T41"/>
      <c r="U41"/>
      <c r="V41"/>
      <c r="W41"/>
    </row>
    <row r="42" spans="2:23" x14ac:dyDescent="0.4">
      <c r="O42"/>
      <c r="P42"/>
      <c r="Q42"/>
      <c r="R42"/>
      <c r="S42"/>
      <c r="T42"/>
      <c r="U42"/>
      <c r="V42"/>
      <c r="W42"/>
    </row>
    <row r="43" spans="2:23" x14ac:dyDescent="0.4">
      <c r="O43"/>
      <c r="P43"/>
      <c r="Q43"/>
      <c r="R43"/>
      <c r="S43"/>
      <c r="T43"/>
      <c r="U43"/>
      <c r="V43"/>
      <c r="W43"/>
    </row>
    <row r="44" spans="2:23" x14ac:dyDescent="0.4">
      <c r="O44"/>
      <c r="P44"/>
      <c r="Q44"/>
      <c r="R44"/>
      <c r="S44"/>
      <c r="T44"/>
      <c r="U44"/>
      <c r="V44"/>
      <c r="W44"/>
    </row>
    <row r="45" spans="2:23" x14ac:dyDescent="0.4">
      <c r="O45"/>
      <c r="P45"/>
      <c r="Q45"/>
      <c r="R45"/>
      <c r="S45"/>
      <c r="T45"/>
      <c r="U45"/>
      <c r="V45"/>
      <c r="W45"/>
    </row>
    <row r="46" spans="2:23" x14ac:dyDescent="0.4">
      <c r="O46"/>
      <c r="P46"/>
      <c r="Q46"/>
      <c r="R46"/>
      <c r="S46"/>
      <c r="T46"/>
      <c r="U46"/>
      <c r="V46"/>
      <c r="W46"/>
    </row>
  </sheetData>
  <mergeCells count="7">
    <mergeCell ref="A13:A14"/>
    <mergeCell ref="O3:O4"/>
    <mergeCell ref="P3:V3"/>
    <mergeCell ref="B2:B3"/>
    <mergeCell ref="C2:I2"/>
    <mergeCell ref="B13:B14"/>
    <mergeCell ref="C13:I13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Jonghyeok Lee</dc:creator>
  <cp:lastModifiedBy>Jonghyeok Lee</cp:lastModifiedBy>
  <cp:lastPrinted>2025-07-18T05:27:49Z</cp:lastPrinted>
  <dcterms:created xsi:type="dcterms:W3CDTF">2025-07-04T04:31:20Z</dcterms:created>
  <dcterms:modified xsi:type="dcterms:W3CDTF">2025-08-21T05:44:22Z</dcterms:modified>
</cp:coreProperties>
</file>